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ulej\Downloads\"/>
    </mc:Choice>
  </mc:AlternateContent>
  <xr:revisionPtr revIDLastSave="0" documentId="13_ncr:1_{01D23DDC-C5CE-4144-B256-D7BD9DC6375C}" xr6:coauthVersionLast="47" xr6:coauthVersionMax="47" xr10:uidLastSave="{00000000-0000-0000-0000-000000000000}"/>
  <workbookProtection workbookAlgorithmName="SHA-512" workbookHashValue="yIW9S1EzqRY/xqJqt1yhh4P19Nhu9iuoXPlB9iaRYAbI0E2nEgAeNPmYtDY2ZVoh+l6s9og8duVvMC6fBLJbRg==" workbookSaltValue="SMO2lw7W5HtWe5SKOezMjA==" workbookSpinCount="100000" lockStructure="1"/>
  <bookViews>
    <workbookView xWindow="-28920" yWindow="5235" windowWidth="29040" windowHeight="15720" xr2:uid="{00000000-000D-0000-FFFF-FFFF00000000}"/>
  </bookViews>
  <sheets>
    <sheet name="M143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" l="1"/>
  <c r="E10" i="1"/>
  <c r="E11" i="1"/>
  <c r="E12" i="1"/>
  <c r="E13" i="1"/>
  <c r="E14" i="1"/>
  <c r="E9" i="1"/>
  <c r="C15" i="1"/>
  <c r="E5" i="1"/>
  <c r="E6" i="1"/>
  <c r="E7" i="1"/>
  <c r="E8" i="1"/>
  <c r="H1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tc={FFABAE7A-E58C-4405-A877-A44658A6DD81}</author>
  </authors>
  <commentList>
    <comment ref="C3" authorId="0" shapeId="0" xr:uid="{FFABAE7A-E58C-4405-A877-A44658A6DD8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4 P. = Es sind mehr als vier Kriterien erfüllt
3 P. = Es sind drei Kriterien erfüllt
2 P. = Es sind zwei Kriterien erfüllt
1 P. = Nur ein oder kein Kriterium ist erfüllt</t>
      </text>
    </comment>
  </commentList>
</comments>
</file>

<file path=xl/sharedStrings.xml><?xml version="1.0" encoding="utf-8"?>
<sst xmlns="http://schemas.openxmlformats.org/spreadsheetml/2006/main" count="42" uniqueCount="37">
  <si>
    <t>Punktevergabe</t>
  </si>
  <si>
    <t>Beschreibung</t>
  </si>
  <si>
    <t>Vergleich Selbsteinschätzung / Bewertung Lehrperson</t>
  </si>
  <si>
    <t>Bemerkungen / Begründung Lernender</t>
  </si>
  <si>
    <t>Bemerkungen / Begründung Lehrperson</t>
  </si>
  <si>
    <t>Note</t>
  </si>
  <si>
    <t>Total</t>
  </si>
  <si>
    <t>Punkte 
Bewertung Lehrperson
P.: 1-4</t>
  </si>
  <si>
    <t>Punkte
Selbsteinschätzung
P: 1-4</t>
  </si>
  <si>
    <t>A1</t>
  </si>
  <si>
    <t>A2</t>
  </si>
  <si>
    <r>
      <rPr>
        <b/>
        <sz val="11"/>
        <color theme="1"/>
        <rFont val="Calibri"/>
        <family val="2"/>
        <scheme val="minor"/>
      </rPr>
      <t>Datensicherheitskonzept</t>
    </r>
    <r>
      <rPr>
        <sz val="11"/>
        <color theme="1"/>
        <rFont val="Calibri"/>
        <family val="2"/>
        <scheme val="minor"/>
      </rPr>
      <t xml:space="preserve">
Rahmenbedingungen und Gesetzgebung</t>
    </r>
  </si>
  <si>
    <r>
      <rPr>
        <b/>
        <sz val="11"/>
        <color theme="1"/>
        <rFont val="Calibri"/>
        <family val="2"/>
        <scheme val="minor"/>
      </rPr>
      <t>Datensicherheitskonzept</t>
    </r>
    <r>
      <rPr>
        <sz val="11"/>
        <color theme="1"/>
        <rFont val="Calibri"/>
        <family val="2"/>
        <scheme val="minor"/>
      </rPr>
      <t xml:space="preserve">
Datensicherungsverfahren</t>
    </r>
  </si>
  <si>
    <t>B1</t>
  </si>
  <si>
    <r>
      <rPr>
        <b/>
        <sz val="11"/>
        <color theme="1"/>
        <rFont val="Calibri"/>
        <family val="2"/>
        <scheme val="minor"/>
      </rPr>
      <t xml:space="preserve">Machbarkeit
</t>
    </r>
    <r>
      <rPr>
        <sz val="11"/>
        <color theme="1"/>
        <rFont val="Calibri"/>
        <family val="2"/>
        <scheme val="minor"/>
      </rPr>
      <t>Machbarkeitsüberprüfung Unterscheidung zwischen exemplarischer Umsetzung und praxisbezogener Umsetzung</t>
    </r>
  </si>
  <si>
    <t>C1</t>
  </si>
  <si>
    <r>
      <t xml:space="preserve">Bedarfsermittlung
</t>
    </r>
    <r>
      <rPr>
        <sz val="11"/>
        <color theme="1"/>
        <rFont val="Calibri"/>
        <family val="2"/>
        <scheme val="minor"/>
      </rPr>
      <t>Ressourcen und Speicherkapazität</t>
    </r>
  </si>
  <si>
    <t>D1</t>
  </si>
  <si>
    <t>D2</t>
  </si>
  <si>
    <r>
      <t xml:space="preserve">Sicherungsprozeduren
</t>
    </r>
    <r>
      <rPr>
        <sz val="11"/>
        <color theme="1"/>
        <rFont val="Calibri"/>
        <family val="2"/>
        <scheme val="minor"/>
      </rPr>
      <t>Befehle / Programme und Automatisierung</t>
    </r>
  </si>
  <si>
    <r>
      <t xml:space="preserve">Sicherungsprozeduren
</t>
    </r>
    <r>
      <rPr>
        <sz val="11"/>
        <color theme="1"/>
        <rFont val="Calibri"/>
        <family val="2"/>
        <scheme val="minor"/>
      </rPr>
      <t>Überprüfung</t>
    </r>
  </si>
  <si>
    <r>
      <t xml:space="preserve">Sicherungsprozeduren
</t>
    </r>
    <r>
      <rPr>
        <sz val="11"/>
        <color theme="1"/>
        <rFont val="Calibri"/>
        <family val="2"/>
        <scheme val="minor"/>
      </rPr>
      <t>Dokumentation</t>
    </r>
  </si>
  <si>
    <t>D3</t>
  </si>
  <si>
    <t>E1</t>
  </si>
  <si>
    <r>
      <t xml:space="preserve">Sicherungs- und Wiederherstellungprozesse
</t>
    </r>
    <r>
      <rPr>
        <sz val="11"/>
        <color theme="1"/>
        <rFont val="Calibri"/>
        <family val="2"/>
        <scheme val="minor"/>
      </rPr>
      <t>Dokumentation der Prozedur</t>
    </r>
  </si>
  <si>
    <t>E2</t>
  </si>
  <si>
    <t>Betriebs- und Wartungsdokumentation</t>
  </si>
  <si>
    <t>F1</t>
  </si>
  <si>
    <t>Erweiterungen</t>
  </si>
  <si>
    <t>Anleitung für dieses Bewertungsraster: Bitte tragen Sie die Selbsteinschätzung (Punkte) direkt in dieses Excel von der Teams-Aufgabe ein.</t>
  </si>
  <si>
    <t>M143 - Selbsteinschätzung und Bewertung</t>
  </si>
  <si>
    <t>36 P. = Note 6.0</t>
  </si>
  <si>
    <t>https://github.com/Arlind-tbz/modul-143/blob/main/Selbsteinschaetzung.md#a1-ich-kann-vorhandene-datensicherungssysteme-analysieren-und-unter-ber%C3%BCcksichtigung-von-rahmenbedingungen-vorschriften-und-erhobene-daten-einflussfaktoren-ein-datensicherungskonzept-entwickeln-und-fachgerecht-darstellen</t>
  </si>
  <si>
    <t>https://github.com/Arlind-tbz/modul-143/blob/main/Selbsteinschaetzung.md#a2-ich-kann-anhand-von-aktuellen-technischen-l%C3%B6sungen-ein-optimales-datensicherungsverfahren-ausw%C3%A4hlen-ich-ber%C3%BCcksichtige-bei-der-entwicklung-des-datensicherungskonzepts-anspruchsvolle-einflussfaktoren-und-weiss-wie-diese-bei-der-realisierung-technisch-umgesetzt-werden</t>
  </si>
  <si>
    <t>https://github.com/Arlind-tbz/modul-143/blob/main/Selbsteinschaetzung.md#b1-ich-kann-aufgrund-von-technischen-und-betriebswirtschaftlichen-kriterien-ein-individualisiertes-datensicherungskonzept-erstellen-und-auf-machbarkeit-%C3%BCberpr%C3%Bcfen</t>
  </si>
  <si>
    <t>https://github.com/Arlind-tbz/modul-143/blob/main/Selbsteinschaetzung.md#c1-ich-kann-den-aktuellen-und-l%C3%A4ngerfristigen-speicherbedarf-ermitteln-und-individualisierte-l%C3%B6sungen-ger%C3%A4te-speichermedien-sowie-optimale-datenstandorte-on-prem-cloud-ausarbeiten-und-anbieten</t>
  </si>
  <si>
    <t>https://github.com/Arlind-tbz/modul-143/blob/main/Selbsteinschaetzung.md#d2-ich-kann-eine-bestehenden-sicherung--und-wiederherstellungsprozedur-erstellen-pr%C3%BCfen-automatisieren-und-bei-bedarf-optimieren-oder-anpassen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</si>
</sst>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5" fillId="0" borderId="0" applyNumberFormat="0" applyFill="0" applyBorder="0" applyAlignment="0" applyProtection="0"/>
  </cellStyleXfs>
  <cellXfs count="36">
    <xf numFmtId="0" fontId="0" fillId="0" borderId="0" xfId="0"/>
    <xf numFmtId="0" fontId="20" fillId="34" borderId="0" xfId="0" applyFont="1" applyFill="1" applyAlignment="1">
      <alignment horizontal="center" vertical="center"/>
    </xf>
    <xf numFmtId="49" fontId="0" fillId="0" borderId="0" xfId="0" applyNumberFormat="1" applyAlignment="1">
      <alignment wrapText="1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 vertical="center" wrapText="1"/>
    </xf>
    <xf numFmtId="0" fontId="23" fillId="0" borderId="0" xfId="0" applyFont="1" applyAlignment="1">
      <alignment wrapText="1"/>
    </xf>
    <xf numFmtId="0" fontId="0" fillId="39" borderId="12" xfId="0" applyFill="1" applyBorder="1" applyAlignment="1">
      <alignment vertical="top" wrapText="1"/>
    </xf>
    <xf numFmtId="0" fontId="0" fillId="39" borderId="12" xfId="0" applyFill="1" applyBorder="1" applyAlignment="1">
      <alignment horizontal="left" vertical="center" wrapText="1"/>
    </xf>
    <xf numFmtId="0" fontId="0" fillId="39" borderId="12" xfId="0" quotePrefix="1" applyFill="1" applyBorder="1" applyAlignment="1">
      <alignment horizontal="left" vertical="top" wrapText="1"/>
    </xf>
    <xf numFmtId="0" fontId="19" fillId="33" borderId="11" xfId="0" applyFont="1" applyFill="1" applyBorder="1" applyAlignment="1" applyProtection="1">
      <alignment horizontal="center" vertical="center"/>
      <protection locked="0"/>
    </xf>
    <xf numFmtId="0" fontId="23" fillId="0" borderId="11" xfId="0" applyFont="1" applyBorder="1" applyAlignment="1">
      <alignment horizontal="left" vertical="center" wrapText="1"/>
    </xf>
    <xf numFmtId="0" fontId="19" fillId="37" borderId="11" xfId="0" applyFont="1" applyFill="1" applyBorder="1" applyAlignment="1">
      <alignment horizontal="center" vertical="center"/>
    </xf>
    <xf numFmtId="0" fontId="16" fillId="39" borderId="12" xfId="0" applyFont="1" applyFill="1" applyBorder="1" applyAlignment="1">
      <alignment horizontal="left" vertical="top" wrapText="1"/>
    </xf>
    <xf numFmtId="0" fontId="23" fillId="0" borderId="11" xfId="0" applyFont="1" applyBorder="1" applyAlignment="1">
      <alignment wrapText="1"/>
    </xf>
    <xf numFmtId="49" fontId="23" fillId="0" borderId="0" xfId="0" applyNumberFormat="1" applyFont="1" applyAlignment="1">
      <alignment horizontal="left" vertical="center" wrapText="1"/>
    </xf>
    <xf numFmtId="49" fontId="24" fillId="36" borderId="0" xfId="0" applyNumberFormat="1" applyFont="1" applyFill="1" applyAlignment="1">
      <alignment horizontal="center" vertical="center" wrapText="1"/>
    </xf>
    <xf numFmtId="0" fontId="16" fillId="39" borderId="14" xfId="0" applyFont="1" applyFill="1" applyBorder="1" applyAlignment="1">
      <alignment horizontal="left" vertical="top" wrapText="1"/>
    </xf>
    <xf numFmtId="49" fontId="19" fillId="0" borderId="15" xfId="0" applyNumberFormat="1" applyFont="1" applyBorder="1" applyAlignment="1">
      <alignment wrapText="1"/>
    </xf>
    <xf numFmtId="49" fontId="23" fillId="0" borderId="11" xfId="0" applyNumberFormat="1" applyFont="1" applyBorder="1" applyAlignment="1">
      <alignment horizontal="left" vertical="center" wrapText="1"/>
    </xf>
    <xf numFmtId="0" fontId="0" fillId="35" borderId="14" xfId="0" applyFill="1" applyBorder="1"/>
    <xf numFmtId="0" fontId="0" fillId="35" borderId="18" xfId="0" applyFill="1" applyBorder="1"/>
    <xf numFmtId="0" fontId="0" fillId="35" borderId="19" xfId="0" applyFill="1" applyBorder="1"/>
    <xf numFmtId="0" fontId="19" fillId="0" borderId="13" xfId="0" applyFont="1" applyBorder="1" applyAlignment="1">
      <alignment horizontal="center"/>
    </xf>
    <xf numFmtId="0" fontId="16" fillId="35" borderId="10" xfId="0" applyFont="1" applyFill="1" applyBorder="1" applyAlignment="1">
      <alignment horizontal="center" vertical="center"/>
    </xf>
    <xf numFmtId="0" fontId="19" fillId="33" borderId="17" xfId="0" applyFont="1" applyFill="1" applyBorder="1" applyAlignment="1">
      <alignment horizontal="center"/>
    </xf>
    <xf numFmtId="0" fontId="19" fillId="34" borderId="20" xfId="0" applyFont="1" applyFill="1" applyBorder="1" applyAlignment="1">
      <alignment horizontal="center"/>
    </xf>
    <xf numFmtId="49" fontId="22" fillId="34" borderId="11" xfId="0" applyNumberFormat="1" applyFont="1" applyFill="1" applyBorder="1" applyAlignment="1">
      <alignment horizontal="left" vertical="center" wrapText="1"/>
    </xf>
    <xf numFmtId="49" fontId="19" fillId="35" borderId="16" xfId="0" applyNumberFormat="1" applyFont="1" applyFill="1" applyBorder="1" applyAlignment="1">
      <alignment horizontal="left" vertical="center"/>
    </xf>
    <xf numFmtId="0" fontId="19" fillId="35" borderId="16" xfId="0" applyFont="1" applyFill="1" applyBorder="1"/>
    <xf numFmtId="49" fontId="19" fillId="35" borderId="13" xfId="0" applyNumberFormat="1" applyFont="1" applyFill="1" applyBorder="1" applyAlignment="1">
      <alignment horizontal="left" vertical="center"/>
    </xf>
    <xf numFmtId="49" fontId="16" fillId="38" borderId="0" xfId="0" applyNumberFormat="1" applyFon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49" fontId="18" fillId="0" borderId="0" xfId="0" applyNumberFormat="1" applyFont="1" applyAlignment="1">
      <alignment horizontal="left" vertical="top" wrapText="1"/>
    </xf>
    <xf numFmtId="0" fontId="0" fillId="0" borderId="0" xfId="0" applyAlignment="1">
      <alignment wrapText="1"/>
    </xf>
    <xf numFmtId="49" fontId="25" fillId="33" borderId="0" xfId="42" applyNumberFormat="1" applyFill="1" applyAlignment="1" applyProtection="1">
      <alignment horizontal="left" vertical="center" wrapText="1"/>
      <protection locked="0"/>
    </xf>
  </cellXfs>
  <cellStyles count="43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Link" xfId="42" builtinId="8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8"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theme="4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</border>
    </dxf>
    <dxf>
      <font>
        <b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9" tint="0.79998168889431442"/>
        </patternFill>
      </fill>
      <alignment horizontal="left" vertical="center" textRotation="0" wrapText="1" indent="0" justifyLastLine="0" shrinkToFit="0" readingOrder="0"/>
      <protection locked="0" hidden="0"/>
    </dxf>
    <dxf>
      <font>
        <b/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/>
        <bottom/>
      </border>
      <protection locked="0" hidden="0"/>
    </dxf>
    <dxf>
      <numFmt numFmtId="30" formatCode="@"/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ohr Philipp" id="{71A28FF1-63CD-4F9C-B032-FD333215FCF5}" userId="S::philipp.rohr@tbz.ch::1b52d861-041b-4055-8e43-fc51b1a9ff07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4:G14" totalsRowShown="0">
  <autoFilter ref="B4:G14" xr:uid="{00000000-0009-0000-0100-000001000000}"/>
  <tableColumns count="6">
    <tableColumn id="1" xr3:uid="{00000000-0010-0000-0000-000001000000}" name="Beschreibung" dataDxfId="7"/>
    <tableColumn id="2" xr3:uid="{00000000-0010-0000-0000-000002000000}" name="Punkte_x000a_Selbsteinschätzung_x000a_P: 1-4" dataDxfId="6"/>
    <tableColumn id="6" xr3:uid="{00000000-0010-0000-0000-000006000000}" name="Bemerkungen / Begründung Lernender" dataDxfId="5"/>
    <tableColumn id="3" xr3:uid="{3CB9400D-3980-4923-A67E-071F9450C272}" name="Vergleich Selbsteinschätzung / Bewertung Lehrperson" dataDxfId="4">
      <calculatedColumnFormula>IF(Table1[[#This Row],[Punkte 
Bewertung Lehrperson
P.: 1-4]]="","",IF(Table1[[#This Row],[Punkte 
Bewertung Lehrperson
P.: 1-4]]=Table1[[#This Row],[Punkte
Selbsteinschätzung
P: 1-4]],1,2))</calculatedColumnFormula>
    </tableColumn>
    <tableColumn id="4" xr3:uid="{00000000-0010-0000-0000-000004000000}" name="Punkte _x000a_Bewertung Lehrperson_x000a_P.: 1-4" dataDxfId="3"/>
    <tableColumn id="5" xr3:uid="{00000000-0010-0000-0000-000005000000}" name="Bemerkungen / Begründung Lehrperso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" dT="2023-02-27T13:28:23.80" personId="{71A28FF1-63CD-4F9C-B032-FD333215FCF5}" id="{FFABAE7A-E58C-4405-A877-A44658A6DD81}">
    <text>4 P. = Es sind mehr als vier Kriterien erfüllt
3 P. = Es sind drei Kriterien erfüllt
2 P. = Es sind zwei Kriterien erfüllt
1 P. = Nur ein oder kein Kriterium ist erfüllt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Arlind-tbz/modul-143/blob/main/Selbsteinschaetzung.md" TargetMode="External"/><Relationship Id="rId13" Type="http://schemas.openxmlformats.org/officeDocument/2006/relationships/table" Target="../tables/table1.xml"/><Relationship Id="rId3" Type="http://schemas.openxmlformats.org/officeDocument/2006/relationships/hyperlink" Target="https://github.com/Arlind-tbz/modul-143/blob/main/Selbsteinschaetzung.md" TargetMode="External"/><Relationship Id="rId7" Type="http://schemas.openxmlformats.org/officeDocument/2006/relationships/hyperlink" Target="https://github.com/Arlind-tbz/modul-143/blob/main/Selbsteinschaetzung.md" TargetMode="External"/><Relationship Id="rId12" Type="http://schemas.openxmlformats.org/officeDocument/2006/relationships/vmlDrawing" Target="../drawings/vmlDrawing1.vml"/><Relationship Id="rId2" Type="http://schemas.openxmlformats.org/officeDocument/2006/relationships/hyperlink" Target="https://github.com/Arlind-tbz/modul-143/blob/main/Selbsteinschaetzung.md" TargetMode="External"/><Relationship Id="rId1" Type="http://schemas.openxmlformats.org/officeDocument/2006/relationships/hyperlink" Target="https://github.com/Arlind-tbz/modul-143/blob/main/Selbsteinschaetzung.md" TargetMode="External"/><Relationship Id="rId6" Type="http://schemas.openxmlformats.org/officeDocument/2006/relationships/hyperlink" Target="https://github.com/Arlind-tbz/modul-143/blob/main/Selbsteinschaetzung.md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github.com/Arlind-tbz/modul-143/blob/main/Selbsteinschaetzung.md" TargetMode="External"/><Relationship Id="rId15" Type="http://schemas.microsoft.com/office/2017/10/relationships/threadedComment" Target="../threadedComments/threadedComment1.xml"/><Relationship Id="rId10" Type="http://schemas.openxmlformats.org/officeDocument/2006/relationships/hyperlink" Target="https://github.com/Arlind-tbz/modul-143/blob/main/Selbsteinschaetzung.md" TargetMode="External"/><Relationship Id="rId4" Type="http://schemas.openxmlformats.org/officeDocument/2006/relationships/hyperlink" Target="https://github.com/Arlind-tbz/modul-143/blob/main/Selbsteinschaetzung.md" TargetMode="External"/><Relationship Id="rId9" Type="http://schemas.openxmlformats.org/officeDocument/2006/relationships/hyperlink" Target="https://github.com/Arlind-tbz/modul-143/blob/main/Selbsteinschaetzung.md" TargetMode="External"/><Relationship Id="rId1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9"/>
  <sheetViews>
    <sheetView tabSelected="1" zoomScale="115" zoomScaleNormal="115" workbookViewId="0">
      <pane ySplit="4" topLeftCell="A12" activePane="bottomLeft" state="frozen"/>
      <selection pane="bottomLeft" activeCell="C5" sqref="C5"/>
    </sheetView>
  </sheetViews>
  <sheetFormatPr baseColWidth="10" defaultColWidth="0" defaultRowHeight="14.4" zeroHeight="1" x14ac:dyDescent="0.3"/>
  <cols>
    <col min="1" max="1" width="3.5546875" customWidth="1"/>
    <col min="2" max="2" width="31.109375" style="2" customWidth="1"/>
    <col min="3" max="3" width="13.33203125" customWidth="1"/>
    <col min="4" max="4" width="34.109375" style="3" customWidth="1"/>
    <col min="5" max="5" width="14.33203125" customWidth="1"/>
    <col min="6" max="6" width="13.6640625" customWidth="1"/>
    <col min="7" max="7" width="20.88671875" customWidth="1"/>
    <col min="8" max="8" width="10.33203125" style="3" customWidth="1"/>
    <col min="9" max="9" width="9.109375" customWidth="1"/>
    <col min="10" max="11" width="0" hidden="1" customWidth="1"/>
    <col min="12" max="16384" width="9.109375" hidden="1"/>
  </cols>
  <sheetData>
    <row r="1" spans="1:8" ht="22.5" customHeight="1" x14ac:dyDescent="0.3">
      <c r="B1" s="33" t="s">
        <v>30</v>
      </c>
      <c r="C1" s="34"/>
      <c r="D1" s="34"/>
      <c r="E1" s="34"/>
      <c r="F1" s="34"/>
      <c r="G1" s="34"/>
      <c r="H1" s="34"/>
    </row>
    <row r="2" spans="1:8" ht="21" customHeight="1" x14ac:dyDescent="0.3">
      <c r="B2" s="30" t="s">
        <v>29</v>
      </c>
      <c r="C2" s="31"/>
      <c r="D2" s="31"/>
      <c r="E2" s="32"/>
      <c r="F2" s="32"/>
      <c r="G2" s="32"/>
      <c r="H2" s="32"/>
    </row>
    <row r="3" spans="1:8" x14ac:dyDescent="0.3">
      <c r="C3" t="s">
        <v>0</v>
      </c>
      <c r="G3" s="3"/>
      <c r="H3"/>
    </row>
    <row r="4" spans="1:8" ht="42" x14ac:dyDescent="0.3">
      <c r="B4" s="4" t="s">
        <v>1</v>
      </c>
      <c r="C4" s="13" t="s">
        <v>8</v>
      </c>
      <c r="D4" s="14" t="s">
        <v>3</v>
      </c>
      <c r="E4" s="10" t="s">
        <v>2</v>
      </c>
      <c r="F4" s="5" t="s">
        <v>7</v>
      </c>
      <c r="G4" s="18" t="s">
        <v>4</v>
      </c>
      <c r="H4" s="15" t="s">
        <v>5</v>
      </c>
    </row>
    <row r="5" spans="1:8" ht="43.2" customHeight="1" x14ac:dyDescent="0.3">
      <c r="A5" s="23" t="s">
        <v>9</v>
      </c>
      <c r="B5" s="6" t="s">
        <v>11</v>
      </c>
      <c r="C5" s="9">
        <v>3</v>
      </c>
      <c r="D5" s="35" t="s">
        <v>32</v>
      </c>
      <c r="E5" s="11" t="str">
        <f>IF(Table1[[#This Row],[Punkte 
Bewertung Lehrperson
P.: 1-4]]="","",IF(Table1[[#This Row],[Punkte 
Bewertung Lehrperson
P.: 1-4]]=Table1[[#This Row],[Punkte
Selbsteinschätzung
P: 1-4]],1,2))</f>
        <v/>
      </c>
      <c r="F5" s="1"/>
      <c r="G5" s="26"/>
      <c r="H5" s="19"/>
    </row>
    <row r="6" spans="1:8" ht="172.8" x14ac:dyDescent="0.3">
      <c r="A6" s="23" t="s">
        <v>10</v>
      </c>
      <c r="B6" s="7" t="s">
        <v>12</v>
      </c>
      <c r="C6" s="9">
        <v>3</v>
      </c>
      <c r="D6" s="35" t="s">
        <v>33</v>
      </c>
      <c r="E6" s="11" t="str">
        <f>IF(Table1[[#This Row],[Punkte 
Bewertung Lehrperson
P.: 1-4]]="","",IF(Table1[[#This Row],[Punkte 
Bewertung Lehrperson
P.: 1-4]]=Table1[[#This Row],[Punkte
Selbsteinschätzung
P: 1-4]],1,2))</f>
        <v/>
      </c>
      <c r="F6" s="1"/>
      <c r="G6" s="26"/>
      <c r="H6" s="20"/>
    </row>
    <row r="7" spans="1:8" ht="115.2" x14ac:dyDescent="0.3">
      <c r="A7" s="23" t="s">
        <v>13</v>
      </c>
      <c r="B7" s="8" t="s">
        <v>14</v>
      </c>
      <c r="C7" s="9">
        <v>3</v>
      </c>
      <c r="D7" s="35" t="s">
        <v>34</v>
      </c>
      <c r="E7" s="11" t="str">
        <f>IF(Table1[[#This Row],[Punkte 
Bewertung Lehrperson
P.: 1-4]]="","",IF(Table1[[#This Row],[Punkte 
Bewertung Lehrperson
P.: 1-4]]=Table1[[#This Row],[Punkte
Selbsteinschätzung
P: 1-4]],1,2))</f>
        <v/>
      </c>
      <c r="F7" s="1"/>
      <c r="G7" s="26"/>
      <c r="H7" s="20"/>
    </row>
    <row r="8" spans="1:8" ht="32.25" customHeight="1" x14ac:dyDescent="0.3">
      <c r="A8" s="23" t="s">
        <v>15</v>
      </c>
      <c r="B8" s="12" t="s">
        <v>16</v>
      </c>
      <c r="C8" s="9">
        <v>3</v>
      </c>
      <c r="D8" s="35" t="s">
        <v>35</v>
      </c>
      <c r="E8" s="11" t="str">
        <f>IF(Table1[[#This Row],[Punkte 
Bewertung Lehrperson
P.: 1-4]]="","",IF(Table1[[#This Row],[Punkte 
Bewertung Lehrperson
P.: 1-4]]=Table1[[#This Row],[Punkte
Selbsteinschätzung
P: 1-4]],1,2))</f>
        <v/>
      </c>
      <c r="F8" s="1"/>
      <c r="G8" s="26"/>
      <c r="H8" s="20"/>
    </row>
    <row r="9" spans="1:8" ht="129.6" x14ac:dyDescent="0.3">
      <c r="A9" s="23" t="s">
        <v>17</v>
      </c>
      <c r="B9" s="12" t="s">
        <v>19</v>
      </c>
      <c r="C9" s="9">
        <v>4</v>
      </c>
      <c r="D9" s="35" t="s">
        <v>35</v>
      </c>
      <c r="E9" s="11" t="str">
        <f>IF(Table1[[#This Row],[Punkte 
Bewertung Lehrperson
P.: 1-4]]="","",IF(Table1[[#This Row],[Punkte 
Bewertung Lehrperson
P.: 1-4]]=Table1[[#This Row],[Punkte
Selbsteinschätzung
P: 1-4]],1,2))</f>
        <v/>
      </c>
      <c r="F9" s="1"/>
      <c r="G9" s="26"/>
      <c r="H9" s="20"/>
    </row>
    <row r="10" spans="1:8" ht="100.8" x14ac:dyDescent="0.3">
      <c r="A10" s="23" t="s">
        <v>18</v>
      </c>
      <c r="B10" s="12" t="s">
        <v>20</v>
      </c>
      <c r="C10" s="9">
        <v>4</v>
      </c>
      <c r="D10" s="35" t="s">
        <v>36</v>
      </c>
      <c r="E10" s="11" t="str">
        <f>IF(Table1[[#This Row],[Punkte 
Bewertung Lehrperson
P.: 1-4]]="","",IF(Table1[[#This Row],[Punkte 
Bewertung Lehrperson
P.: 1-4]]=Table1[[#This Row],[Punkte
Selbsteinschätzung
P: 1-4]],1,2))</f>
        <v/>
      </c>
      <c r="F10" s="1"/>
      <c r="G10" s="26"/>
      <c r="H10" s="20"/>
    </row>
    <row r="11" spans="1:8" ht="100.8" x14ac:dyDescent="0.3">
      <c r="A11" s="23" t="s">
        <v>22</v>
      </c>
      <c r="B11" s="12" t="s">
        <v>21</v>
      </c>
      <c r="C11" s="9">
        <v>4</v>
      </c>
      <c r="D11" s="35" t="s">
        <v>36</v>
      </c>
      <c r="E11" s="11" t="str">
        <f>IF(Table1[[#This Row],[Punkte 
Bewertung Lehrperson
P.: 1-4]]="","",IF(Table1[[#This Row],[Punkte 
Bewertung Lehrperson
P.: 1-4]]=Table1[[#This Row],[Punkte
Selbsteinschätzung
P: 1-4]],1,2))</f>
        <v/>
      </c>
      <c r="F11" s="1"/>
      <c r="G11" s="26"/>
      <c r="H11" s="20"/>
    </row>
    <row r="12" spans="1:8" ht="100.8" x14ac:dyDescent="0.3">
      <c r="A12" s="23" t="s">
        <v>23</v>
      </c>
      <c r="B12" s="12" t="s">
        <v>24</v>
      </c>
      <c r="C12" s="9">
        <v>4</v>
      </c>
      <c r="D12" s="35" t="s">
        <v>36</v>
      </c>
      <c r="E12" s="11" t="str">
        <f>IF(Table1[[#This Row],[Punkte 
Bewertung Lehrperson
P.: 1-4]]="","",IF(Table1[[#This Row],[Punkte 
Bewertung Lehrperson
P.: 1-4]]=Table1[[#This Row],[Punkte
Selbsteinschätzung
P: 1-4]],1,2))</f>
        <v/>
      </c>
      <c r="F12" s="1"/>
      <c r="G12" s="26"/>
      <c r="H12" s="20"/>
    </row>
    <row r="13" spans="1:8" ht="100.8" x14ac:dyDescent="0.3">
      <c r="A13" s="23" t="s">
        <v>25</v>
      </c>
      <c r="B13" s="12" t="s">
        <v>26</v>
      </c>
      <c r="C13" s="9">
        <v>4</v>
      </c>
      <c r="D13" s="35" t="s">
        <v>36</v>
      </c>
      <c r="E13" s="11" t="str">
        <f>IF(Table1[[#This Row],[Punkte 
Bewertung Lehrperson
P.: 1-4]]="","",IF(Table1[[#This Row],[Punkte 
Bewertung Lehrperson
P.: 1-4]]=Table1[[#This Row],[Punkte
Selbsteinschätzung
P: 1-4]],1,2))</f>
        <v/>
      </c>
      <c r="F13" s="1"/>
      <c r="G13" s="26"/>
      <c r="H13" s="20"/>
    </row>
    <row r="14" spans="1:8" ht="101.4" thickBot="1" x14ac:dyDescent="0.35">
      <c r="A14" s="23" t="s">
        <v>27</v>
      </c>
      <c r="B14" s="16" t="s">
        <v>28</v>
      </c>
      <c r="C14" s="9">
        <v>3</v>
      </c>
      <c r="D14" s="35" t="s">
        <v>36</v>
      </c>
      <c r="E14" s="11" t="str">
        <f>IF(Table1[[#This Row],[Punkte 
Bewertung Lehrperson
P.: 1-4]]="","",IF(Table1[[#This Row],[Punkte 
Bewertung Lehrperson
P.: 1-4]]=Table1[[#This Row],[Punkte
Selbsteinschätzung
P: 1-4]],1,2))</f>
        <v/>
      </c>
      <c r="F14" s="1"/>
      <c r="G14" s="26"/>
      <c r="H14" s="21"/>
    </row>
    <row r="15" spans="1:8" ht="16.2" thickBot="1" x14ac:dyDescent="0.35">
      <c r="B15" s="17" t="s">
        <v>6</v>
      </c>
      <c r="C15" s="24">
        <f>SUM(Table1[Punkte
Selbsteinschätzung
P: 1-4])</f>
        <v>35</v>
      </c>
      <c r="D15" s="27"/>
      <c r="E15" s="28"/>
      <c r="F15" s="25">
        <f>SUM(Table1[Punkte 
Bewertung Lehrperson
P.: 1-4])</f>
        <v>0</v>
      </c>
      <c r="G15" s="29" t="s">
        <v>31</v>
      </c>
      <c r="H15" s="22">
        <f>IF(F15=0,IF(C15&lt;36,ROUND(C15*5/36+1,1),6),IF(F15&lt;36,ROUND(F15*5/36+1,1),6))</f>
        <v>5.9</v>
      </c>
    </row>
    <row r="16" spans="1:8" x14ac:dyDescent="0.3"/>
    <row r="17" x14ac:dyDescent="0.3"/>
    <row r="18" x14ac:dyDescent="0.3"/>
    <row r="19" x14ac:dyDescent="0.3"/>
  </sheetData>
  <sheetProtection algorithmName="SHA-512" hashValue="iryAOy92juHpYlEh8NMZHCWVidiCMjIDrqA7d4e8LKDVMq1uUssYCrUTo/TDndYnYDzSHi7/kewHU35XjOlbkQ==" saltValue="0nt/O1TWfjdbH11trG/Zlg==" spinCount="100000" sheet="1" insertHyperlinks="0" selectLockedCells="1"/>
  <mergeCells count="2">
    <mergeCell ref="B2:H2"/>
    <mergeCell ref="B1:H1"/>
  </mergeCells>
  <phoneticPr fontId="21" type="noConversion"/>
  <conditionalFormatting sqref="H15">
    <cfRule type="expression" dxfId="1" priority="6">
      <formula>$F$15&gt;1</formula>
    </cfRule>
    <cfRule type="expression" dxfId="0" priority="7">
      <formula>$C$15&gt;1</formula>
    </cfRule>
  </conditionalFormatting>
  <dataValidations count="2">
    <dataValidation type="decimal" allowBlank="1" showInputMessage="1" showErrorMessage="1" errorTitle="Punkte-Eingabe" error="Bitte geben Sie bei der Selbsteinschätzung nur die Werte von 0 bsi 4 ein." sqref="C5:C14" xr:uid="{00000000-0002-0000-0000-000000000000}">
      <formula1>0</formula1>
      <formula2>4</formula2>
    </dataValidation>
    <dataValidation allowBlank="1" showInputMessage="1" showErrorMessage="1" errorTitle="Punkte-Eingabe" error="Bitte geben Sie bei der Selbsteinschätzung nur die Werte von 0 bsi 4 ein." sqref="D5:D14" xr:uid="{8EB6E47A-79A9-46CD-A6E1-FE1625EF770A}"/>
  </dataValidations>
  <hyperlinks>
    <hyperlink ref="D6" r:id="rId1" location="a2-ich-kann-anhand-von-aktuellen-technischen-l%C3%B6sungen-ein-optimales-datensicherungsverfahren-ausw%C3%A4hlen-ich-ber%C3%BCcksichtige-bei-der-entwicklung-des-datensicherungskonzepts-anspruchsvolle-einflussfaktoren-und-weiss-wie-diese-bei-der-realisierung-technisch-umgesetzt-werden" display="https://github.com/Arlind-tbz/modul-143/blob/main/Selbsteinschaetzung.md#a2-ich-kann-anhand-von-aktuellen-technischen-l%C3%B6sungen-ein-optimales-datensicherungsverfahren-ausw%C3%A4hlen-ich-ber%C3%BCcksichtige-bei-der-entwicklung-des-datensicherungskonzepts-anspruchsvolle-einflussfaktoren-und-weiss-wie-diese-bei-der-realisierung-technisch-umgesetzt-werden" xr:uid="{5FF7B7C6-E073-4D59-8536-BDD914A39D40}"/>
    <hyperlink ref="D7" r:id="rId2" location="b1-ich-kann-aufgrund-von-technischen-und-betriebswirtschaftlichen-kriterien-ein-individualisiertes-datensicherungskonzept-erstellen-und-auf-machbarkeit-%C3%BCberpr%C3%Bcfen" xr:uid="{B0DCCA9E-6918-4B2E-AC84-39CB9A8277BC}"/>
    <hyperlink ref="D8" r:id="rId3" location="c1-ich-kann-den-aktuellen-und-l%C3%A4ngerfristigen-speicherbedarf-ermitteln-und-individualisierte-l%C3%B6sungen-ger%C3%A4te-speichermedien-sowie-optimale-datenstandorte-on-prem-cloud-ausarbeiten-und-anbieten" display="https://github.com/Arlind-tbz/modul-143/blob/main/Selbsteinschaetzung.md#c1-ich-kann-den-aktuellen-und-l%C3%A4ngerfristigen-speicherbedarf-ermitteln-und-individualisierte-l%C3%B6sungen-ger%C3%A4te-speichermedien-sowie-optimale-datenstandorte-on-prem-cloud-ausarbeiten-und-anbieten" xr:uid="{D6134E34-4088-4A11-A324-AEA81B983179}"/>
    <hyperlink ref="D9" r:id="rId4" location="c1-ich-kann-den-aktuellen-und-l%C3%A4ngerfristigen-speicherbedarf-ermitteln-und-individualisierte-l%C3%B6sungen-ger%C3%A4te-speichermedien-sowie-optimale-datenstandorte-on-prem-cloud-ausarbeiten-und-anbieten" display="https://github.com/Arlind-tbz/modul-143/blob/main/Selbsteinschaetzung.md#c1-ich-kann-den-aktuellen-und-l%C3%A4ngerfristigen-speicherbedarf-ermitteln-und-individualisierte-l%C3%B6sungen-ger%C3%A4te-speichermedien-sowie-optimale-datenstandorte-on-prem-cloud-ausarbeiten-und-anbieten" xr:uid="{E8164C74-836F-40EE-938D-20A73E1063EE}"/>
    <hyperlink ref="D10" r:id="rId5" location="d2-ich-kann-eine-bestehenden-sicherung--und-wiederherstellungsprozedur-erstellen-pr%C3%BCfen-automatisieren-und-bei-bedarf-optimieren-oder-anpassen" xr:uid="{5B78FA8D-C1C3-4C38-BF47-902A9AD9F282}"/>
    <hyperlink ref="D11" r:id="rId6" location="d2-ich-kann-eine-bestehenden-sicherung--und-wiederherstellungsprozedur-erstellen-pr%C3%BCfen-automatisieren-und-bei-bedarf-optimieren-oder-anpassen" xr:uid="{D895F002-201D-4276-9826-17339CFDDB56}"/>
    <hyperlink ref="D12" r:id="rId7" location="d2-ich-kann-eine-bestehenden-sicherung--und-wiederherstellungsprozedur-erstellen-pr%C3%BCfen-automatisieren-und-bei-bedarf-optimieren-oder-anpassen" xr:uid="{37363D58-16E9-416B-BF92-C055153FD01D}"/>
    <hyperlink ref="D5" r:id="rId8" location="a1-ich-kann-vorhandene-datensicherungssysteme-analysieren-und-unter-ber%C3%BCcksichtigung-von-rahmenbedingungen-vorschriften-und-erhobene-daten-einflussfaktoren-ein-datensicherungskonzept-entwickeln-und-fachgerecht-darstellen" display="https://github.com/Arlind-tbz/modul-143/blob/main/Selbsteinschaetzung.md#a1-ich-kann-vorhandene-datensicherungssysteme-analysieren-und-unter-ber%C3%BCcksichtigung-von-rahmenbedingungen-vorschriften-und-erhobene-daten-einflussfaktoren-ein-datensicherungskonzept-entwickeln-und-fachgerecht-darstellen" xr:uid="{CA95A550-6CDF-481F-B655-B8FEC31F570B}"/>
    <hyperlink ref="D13" r:id="rId9" location="d2-ich-kann-eine-bestehenden-sicherung--und-wiederherstellungsprozedur-erstellen-pr%C3%BCfen-automatisieren-und-bei-bedarf-optimieren-oder-anpassen" xr:uid="{DC9660C7-62F1-49ED-B1D8-F475C4886E36}"/>
    <hyperlink ref="D14" r:id="rId10" location="d2-ich-kann-eine-bestehenden-sicherung--und-wiederherstellungsprozedur-erstellen-pr%C3%BCfen-automatisieren-und-bei-bedarf-optimieren-oder-anpassen" xr:uid="{1DBAC2C1-138C-4E9D-99B8-D5B5172B9BFF}"/>
  </hyperlinks>
  <pageMargins left="0.7" right="0.7" top="0.75" bottom="0.75" header="0.3" footer="0.3"/>
  <pageSetup paperSize="9" orientation="portrait" horizontalDpi="4294967293" verticalDpi="1200" r:id="rId11"/>
  <legacyDrawing r:id="rId12"/>
  <tableParts count="1">
    <tablePart r:id="rId1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" id="{CB2B6059-371A-48C5-8EA9-85DEDF65CBDC}">
            <x14:iconSet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NoIcons" iconId="0"/>
              <x14:cfIcon iconSet="3Symbols2" iconId="2"/>
              <x14:cfIcon iconSet="3Symbols" iconId="1"/>
            </x14:iconSet>
          </x14:cfRule>
          <xm:sqref>E5:E14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4372F7FFFFB464CA289A341738690BA" ma:contentTypeVersion="7" ma:contentTypeDescription="Ein neues Dokument erstellen." ma:contentTypeScope="" ma:versionID="97a43b636e9aba67d8e2b9b3a9ab88b1">
  <xsd:schema xmlns:xsd="http://www.w3.org/2001/XMLSchema" xmlns:xs="http://www.w3.org/2001/XMLSchema" xmlns:p="http://schemas.microsoft.com/office/2006/metadata/properties" xmlns:ns2="6bb99893-d197-453c-bc62-7c0ddc136909" xmlns:ns3="548dce30-f055-48ee-af5a-fde3f099c0fc" targetNamespace="http://schemas.microsoft.com/office/2006/metadata/properties" ma:root="true" ma:fieldsID="2ec26850f3cc93c1097f214b09fd18fe" ns2:_="" ns3:_="">
    <xsd:import namespace="6bb99893-d197-453c-bc62-7c0ddc136909"/>
    <xsd:import namespace="548dce30-f055-48ee-af5a-fde3f099c0fc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b99893-d197-453c-bc62-7c0ddc136909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8dce30-f055-48ee-af5a-fde3f099c0f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6bb99893-d197-453c-bc62-7c0ddc136909" xsi:nil="true"/>
    <SharedWithUsers xmlns="548dce30-f055-48ee-af5a-fde3f099c0fc">
      <UserInfo>
        <DisplayName>Sulejmani Arlind</DisplayName>
        <AccountId>29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C8F9602D-5A51-4F22-B83A-7B36774BD0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b99893-d197-453c-bc62-7c0ddc136909"/>
    <ds:schemaRef ds:uri="548dce30-f055-48ee-af5a-fde3f099c0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5C88061-89EB-4B2A-86EF-F4D06CD28E6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975346D-1BEC-478D-8DAF-EEE5E87C2B18}">
  <ds:schemaRefs>
    <ds:schemaRef ds:uri="http://purl.org/dc/elements/1.1/"/>
    <ds:schemaRef ds:uri="http://purl.org/dc/terms/"/>
    <ds:schemaRef ds:uri="http://schemas.microsoft.com/office/2006/documentManagement/types"/>
    <ds:schemaRef ds:uri="http://www.w3.org/XML/1998/namespace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beb5b865-c29f-4ed2-88fc-6d11e500c206"/>
    <ds:schemaRef ds:uri="http://schemas.microsoft.com/office/2006/metadata/properties"/>
    <ds:schemaRef ds:uri="6bb99893-d197-453c-bc62-7c0ddc136909"/>
    <ds:schemaRef ds:uri="548dce30-f055-48ee-af5a-fde3f099c0f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M143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Philipp Rohr TE</dc:creator>
  <cp:keywords/>
  <dc:description/>
  <cp:lastModifiedBy>Arlind Sulejmani</cp:lastModifiedBy>
  <cp:revision/>
  <dcterms:created xsi:type="dcterms:W3CDTF">2023-02-21T10:39:57Z</dcterms:created>
  <dcterms:modified xsi:type="dcterms:W3CDTF">2024-01-29T22:54:55Z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0x01010044372F7FFFFB464CA289A341738690BA</vt:lpwstr>
  </property>
  <property fmtid="{D5CDD505-2E9C-101B-9397-08002B2CF9AE}" pid="3" name="Order">
    <vt:r8>4020200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TemplateUrl">
    <vt:lpwstr/>
  </property>
  <property fmtid="{D5CDD505-2E9C-101B-9397-08002B2CF9AE}" pid="10" name="_SourceUrl">
    <vt:lpwstr/>
  </property>
  <property fmtid="{D5CDD505-2E9C-101B-9397-08002B2CF9AE}" pid="11" name="_SharedFileIndex">
    <vt:lpwstr/>
  </property>
</Properties>
</file>